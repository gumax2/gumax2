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c16127622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ks para converter" sheetId="1" r:id="Rdb3c5322c91144de"/>
    <x:sheet xmlns:r="http://schemas.openxmlformats.org/officeDocument/2006/relationships" name="Instruções" sheetId="2" r:id="Rd1bd1514c041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243D"/>
      </x:patternFill>
    </x:fill>
    <x:fill>
      <x:patternFill patternType="solid">
        <x:fgColor rgb="FFFFF1D6"/>
      </x:patternFill>
    </x:fill>
    <x:fill>
      <x:patternFill patternType="solid">
        <x:fgColor rgb="FFEAF4FF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26bf99a3847fc" /><Relationship Type="http://schemas.openxmlformats.org/officeDocument/2006/relationships/theme" Target="/xl/theme/theme1.xml" Id="R00ec8f6642804d29" /><Relationship Type="http://schemas.openxmlformats.org/officeDocument/2006/relationships/sharedStrings" Target="/xl/sharedStrings.xml" Id="R93c53b8d234947dc" /><Relationship Type="http://schemas.openxmlformats.org/officeDocument/2006/relationships/worksheet" Target="/xl/worksheets/sheet1.xml" Id="Rdb3c5322c91144de" /><Relationship Type="http://schemas.openxmlformats.org/officeDocument/2006/relationships/worksheet" Target="/xl/worksheets/sheet2.xml" Id="Rd1bd1514c041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47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24" hidden="0" customWidth="1"/>
    <x:col min="9" max="9" width="18" hidden="0" customWidth="1"/>
    <x:col min="10" max="10" width="12" hidden="0" customWidth="1"/>
    <x:col min="11" max="11" width="13" hidden="0" customWidth="1"/>
    <x:col min="12" max="12" width="62" hidden="0" customWidth="1"/>
    <x:col min="13" max="13" width="44" hidden="0" customWidth="1"/>
    <x:col min="14" max="14" width="27" hidden="0" customWidth="1"/>
    <x:col min="15" max="15" width="48" hidden="0" customWidth="1"/>
    <x:col min="16" max="16" width="22" hidden="0" customWidth="1"/>
    <x:col min="17" max="17" width="48" hidden="0" customWidth="1"/>
  </x:cols>
  <x:sheetData>
    <x:row r="1" ht="31" customHeight="1">
      <x:c r="A1" s="8" t="str">
        <x:v>Ranking</x:v>
      </x:c>
      <x:c r="B1" s="8" t="str">
        <x:v>Categoria</x:v>
      </x:c>
      <x:c r="C1" s="8" t="str">
        <x:v>Produto</x:v>
      </x:c>
      <x:c r="D1" s="8" t="str">
        <x:v>ID anúncio</x:v>
      </x:c>
      <x:c r="E1" s="8" t="str">
        <x:v>Preço referência (R$)</x:v>
      </x:c>
      <x:c r="F1" s="8" t="str">
        <x:v>Preço oferta (R$)</x:v>
      </x:c>
      <x:c r="G1" s="8" t="str">
        <x:v>Desconto calculado</x:v>
      </x:c>
      <x:c r="H1" s="8" t="str">
        <x:v>Condição</x:v>
      </x:c>
      <x:c r="I1" s="8" t="str">
        <x:v>Vendas indicadas</x:v>
      </x:c>
      <x:c r="J1" s="8" t="str">
        <x:v>Nota</x:v>
      </x:c>
      <x:c r="K1" s="8" t="str">
        <x:v>Avaliações</x:v>
      </x:c>
      <x:c r="L1" s="8" t="str">
        <x:v>URL produto original</x:v>
      </x:c>
      <x:c r="M1" s="8" t="str">
        <x:v>LINK AFILIADO (PREENCHER)</x:v>
      </x:c>
      <x:c r="N1" s="8" t="str">
        <x:v>Status</x:v>
      </x:c>
      <x:c r="O1" s="8" t="str">
        <x:v>Observações</x:v>
      </x:c>
      <x:c r="P1" s="8" t="str">
        <x:v>Fonte</x:v>
      </x:c>
      <x:c r="Q1" s="8" t="str">
        <x:v>Coleta</x:v>
      </x:c>
    </x:row>
    <x:row r="2" ht="28" customHeight="1">
      <x:c r="A2" t="n">
        <x:v>1</x:v>
      </x:c>
      <x:c r="B2" t="str">
        <x:v>Tecnologia</x:v>
      </x:c>
      <x:c r="C2" t="str">
        <x:v>Mouse Bluetooth recarregável 2.4G</x:v>
      </x:c>
      <x:c r="D2" t="str">
        <x:v>MLB-4047815501</x:v>
      </x:c>
      <x:c r="E2" s="2" t="n">
        <x:v>214</x:v>
      </x:c>
      <x:c r="F2" s="2" t="n">
        <x:v>57.99</x:v>
      </x:c>
      <x:c r="G2" s="4" t="n">
        <x:f>IF(AND(E2&gt;0,F2&gt;0),1-F2/E2,"")</x:f>
        <x:v>0.7290186915887851</x:v>
      </x:c>
      <x:c r="H2" t="str">
        <x:v>Normal</x:v>
      </x:c>
      <x:c r="I2" t="str">
        <x:v>+10 mil</x:v>
      </x:c>
      <x:c r="J2" t="n">
        <x:v>4.9</x:v>
      </x:c>
      <x:c r="K2" t="n">
        <x:v>3390</x:v>
      </x:c>
      <x:c r="L2" t="str">
        <x:v>https://produto.mercadolivre.com.br/MLB-4047815501-mouse-sem-fio-bluetooth-recarregavel-gamer-ergonmico-24g-_JM</x:v>
      </x:c>
      <x:c r="M2" s="12" t="str"/>
      <x:c r="N2" s="14" t="str">
        <x:v>Para converter / validar</x:v>
      </x:c>
      <x:c r="O2" t="str">
        <x:v>alto desconto; estoque restrito</x:v>
      </x:c>
      <x:c r="P2" t="str">
        <x:v>turn236137search0</x:v>
      </x:c>
      <x:c r="Q2" t="str">
        <x:v>26/10/2026 (página indexada, atualização variável)</x:v>
      </x:c>
    </x:row>
    <x:row r="3" ht="28" customHeight="1">
      <x:c r="A3" t="n">
        <x:v>2</x:v>
      </x:c>
      <x:c r="B3" t="str">
        <x:v>Tecnologia</x:v>
      </x:c>
      <x:c r="C3" t="str">
        <x:v>Mouse Bluetooth recarregável 2.4G preto</x:v>
      </x:c>
      <x:c r="D3" t="str">
        <x:v>MLB-5381436588</x:v>
      </x:c>
      <x:c r="E3" s="2" t="n">
        <x:v>194</x:v>
      </x:c>
      <x:c r="F3" s="2" t="n">
        <x:v>56.99</x:v>
      </x:c>
      <x:c r="G3" s="4" t="n">
        <x:f>IF(AND(E3&gt;0,F3&gt;0),1-F3/E3,"")</x:f>
        <x:v>0.7062371134020619</x:v>
      </x:c>
      <x:c r="H3" t="str">
        <x:v>Normal</x:v>
      </x:c>
      <x:c r="I3" t="str">
        <x:v>+5 mil</x:v>
      </x:c>
      <x:c r="J3" t="n">
        <x:v>4.9</x:v>
      </x:c>
      <x:c r="K3" t="n">
        <x:v>2210</x:v>
      </x:c>
      <x:c r="L3" t="str">
        <x:v>https://produto.mercadolivre.com.br/MLB-5381436588-mouse-sem-fio-recarregavel-bluetooth24g-gamer-ergonmico-_JM</x:v>
      </x:c>
      <x:c r="M3" s="12" t="str"/>
      <x:c r="N3" s="14" t="str">
        <x:v>Para converter / validar</x:v>
      </x:c>
      <x:c r="O3" t="str">
        <x:v>alternativa de cor; não anunciar junto ao anterior</x:v>
      </x:c>
      <x:c r="P3" t="str">
        <x:v>turn236137search1</x:v>
      </x:c>
      <x:c r="Q3" t="str">
        <x:v>26/10/2026 (página indexada, atualização variável)</x:v>
      </x:c>
    </x:row>
    <x:row r="4" ht="28" customHeight="1">
      <x:c r="A4" t="n">
        <x:v>3</x:v>
      </x:c>
      <x:c r="B4" t="str">
        <x:v>Casa</x:v>
      </x:c>
      <x:c r="C4" t="str">
        <x:v>Kit organizador escritório preto</x:v>
      </x:c>
      <x:c r="D4" t="str">
        <x:v>MLB-3156552171</x:v>
      </x:c>
      <x:c r="E4" s="2" t="n">
        <x:v>78.99</x:v>
      </x:c>
      <x:c r="F4" s="2" t="n">
        <x:v>54.9</x:v>
      </x:c>
      <x:c r="G4" s="4" t="n">
        <x:f>IF(AND(E4&gt;0,F4&gt;0),1-F4/E4,"")</x:f>
        <x:v>0.3049753133308013</x:v>
      </x:c>
      <x:c r="H4" t="str">
        <x:v>Normal</x:v>
      </x:c>
      <x:c r="I4" t="str">
        <x:v>+10 mil</x:v>
      </x:c>
      <x:c r="J4" t="n">
        <x:v>4.9</x:v>
      </x:c>
      <x:c r="K4" t="n">
        <x:v>1855</x:v>
      </x:c>
      <x:c r="L4" t="str">
        <x:v>https://produto.mercadolivre.com.br/MLB-3156552171-kit-organizador-de-escritorio-preto-porta-treco-caneta-lixo-_JM</x:v>
      </x:c>
      <x:c r="M4" s="12" t="str"/>
      <x:c r="N4" s="14" t="str">
        <x:v>Para converter / validar</x:v>
      </x:c>
      <x:c r="O4" t="str">
        <x:v>alta tração pública</x:v>
      </x:c>
      <x:c r="P4" t="str">
        <x:v>turn611919search3</x:v>
      </x:c>
      <x:c r="Q4" t="str">
        <x:v>26/10/2026 (página indexada, atualização variável)</x:v>
      </x:c>
    </x:row>
    <x:row r="5" ht="28" customHeight="1">
      <x:c r="A5" t="n">
        <x:v>4</x:v>
      </x:c>
      <x:c r="B5" t="str">
        <x:v>Beleza</x:v>
      </x:c>
      <x:c r="C5" t="str">
        <x:v>Escova secadora 4 em 1 Inova</x:v>
      </x:c>
      <x:c r="D5" t="str">
        <x:v>MLB-4162581707</x:v>
      </x:c>
      <x:c r="E5" s="2" t="n">
        <x:v>151.7</x:v>
      </x:c>
      <x:c r="F5" s="2" t="n">
        <x:v>56.2</x:v>
      </x:c>
      <x:c r="G5" s="4" t="n">
        <x:f>IF(AND(E5&gt;0,F5&gt;0),1-F5/E5,"")</x:f>
        <x:v>0.6295319709953856</x:v>
      </x:c>
      <x:c r="H5" t="str">
        <x:v>Pagamento promocional</x:v>
      </x:c>
      <x:c r="I5" t="str">
        <x:v>+500</x:v>
      </x:c>
      <x:c r="J5" t="n">
        <x:v>4.7</x:v>
      </x:c>
      <x:c r="K5" t="n">
        <x:v>128</x:v>
      </x:c>
      <x:c r="L5" t="str">
        <x:v>https://produto.mercadolivre.com.br/MLB-4162581707-escova-secadora-e-modeladora-4-em-1-alisadora-seca-e-cachos-_JM</x:v>
      </x:c>
      <x:c r="M5" s="12" t="str"/>
      <x:c r="N5" s="14" t="str">
        <x:v>Para converter / validar</x:v>
      </x:c>
      <x:c r="O5" t="str">
        <x:v>verificar voltagem</x:v>
      </x:c>
      <x:c r="P5" t="str">
        <x:v>turn383087search4</x:v>
      </x:c>
      <x:c r="Q5" t="str">
        <x:v>26/10/2026 (página indexada, atualização variável)</x:v>
      </x:c>
    </x:row>
    <x:row r="6" ht="28" customHeight="1">
      <x:c r="A6" t="n">
        <x:v>5</x:v>
      </x:c>
      <x:c r="B6" t="str">
        <x:v>Casa</x:v>
      </x:c>
      <x:c r="C6" t="str">
        <x:v>Garrafa térmica 250 ml para café</x:v>
      </x:c>
      <x:c r="D6" t="str">
        <x:v>MLB-3199424993</x:v>
      </x:c>
      <x:c r="E6" s="2" t="n">
        <x:v>47.9</x:v>
      </x:c>
      <x:c r="F6" s="2" t="n">
        <x:v>38.9</x:v>
      </x:c>
      <x:c r="G6" s="4" t="n">
        <x:f>IF(AND(E6&gt;0,F6&gt;0),1-F6/E6,"")</x:f>
        <x:v>0.1878914405010439</x:v>
      </x:c>
      <x:c r="H6" t="str">
        <x:v>Normal</x:v>
      </x:c>
      <x:c r="I6" t="str">
        <x:v>+10 mil</x:v>
      </x:c>
      <x:c r="J6" t="n">
        <x:v>4.7</x:v>
      </x:c>
      <x:c r="K6" t="n">
        <x:v>3022</x:v>
      </x:c>
      <x:c r="L6" t="str">
        <x:v>https://produto.mercadolivre.com.br/MLB-3199424993-garrafa-termica-pequena-cafe-agua-250ml-trabalho-lancheira-_JM</x:v>
      </x:c>
      <x:c r="M6" s="12" t="str"/>
      <x:c r="N6" s="14" t="str">
        <x:v>Para converter / validar</x:v>
      </x:c>
      <x:c r="O6" t="str">
        <x:v>alto histórico público</x:v>
      </x:c>
      <x:c r="P6" t="str">
        <x:v>turn611919search11</x:v>
      </x:c>
      <x:c r="Q6" t="str">
        <x:v>26/10/2026 (página indexada, atualização variável)</x:v>
      </x:c>
    </x:row>
    <x:row r="7" ht="28" customHeight="1">
      <x:c r="A7" t="n">
        <x:v>6</x:v>
      </x:c>
      <x:c r="B7" t="str">
        <x:v>Casa</x:v>
      </x:c>
      <x:c r="C7" t="str">
        <x:v>Copo térmico inox 900 ml com canudo</x:v>
      </x:c>
      <x:c r="D7" t="str">
        <x:v>MLB-4308562565</x:v>
      </x:c>
      <x:c r="E7" s="2" t="n">
        <x:v>69.9</x:v>
      </x:c>
      <x:c r="F7" s="2" t="n">
        <x:v>44</x:v>
      </x:c>
      <x:c r="G7" s="4" t="n">
        <x:f>IF(AND(E7&gt;0,F7&gt;0),1-F7/E7,"")</x:f>
        <x:v>0.37052932761087276</x:v>
      </x:c>
      <x:c r="H7" t="str">
        <x:v>Com cupom</x:v>
      </x:c>
      <x:c r="I7" t="str">
        <x:v>+5 mil</x:v>
      </x:c>
      <x:c r="J7" t="n">
        <x:v>4.9</x:v>
      </x:c>
      <x:c r="K7" t="n">
        <x:v>2053</x:v>
      </x:c>
      <x:c r="L7" t="str">
        <x:v>https://produto.mercadolivre.com.br/MLB-4308562565-garrafa-termica-copo-inox-900ml-alca-tampa-t-flip-canudo-_JM</x:v>
      </x:c>
      <x:c r="M7" s="12" t="str"/>
      <x:c r="N7" s="14" t="str">
        <x:v>Para converter / validar</x:v>
      </x:c>
      <x:c r="O7" t="str">
        <x:v>preço depende de cupom</x:v>
      </x:c>
      <x:c r="P7" t="str">
        <x:v>turn611919search2</x:v>
      </x:c>
      <x:c r="Q7" t="str">
        <x:v>26/10/2026 (página indexada, atualização variável)</x:v>
      </x:c>
    </x:row>
    <x:row r="8" ht="28" customHeight="1">
      <x:c r="A8" t="n">
        <x:v>7</x:v>
      </x:c>
      <x:c r="B8" t="str">
        <x:v>Tecnologia</x:v>
      </x:c>
      <x:c r="C8" t="str">
        <x:v>Power Bank 20.000 mAh com display</x:v>
      </x:c>
      <x:c r="D8" t="str">
        <x:v>MLB-6632626272</x:v>
      </x:c>
      <x:c r="E8" s="2" t="n">
        <x:v>169.99</x:v>
      </x:c>
      <x:c r="F8" s="2" t="n">
        <x:v>88.39</x:v>
      </x:c>
      <x:c r="G8" s="4" t="n">
        <x:f>IF(AND(E8&gt;0,F8&gt;0),1-F8/E8,"")</x:f>
        <x:v>0.480028236955115</x:v>
      </x:c>
      <x:c r="H8" t="str">
        <x:v>Normal</x:v>
      </x:c>
      <x:c r="I8" t="str">
        <x:v>+1 mil</x:v>
      </x:c>
      <x:c r="J8" t="n">
        <x:v>4.8</x:v>
      </x:c>
      <x:c r="K8" t="n">
        <x:v>439</x:v>
      </x:c>
      <x:c r="L8" t="str">
        <x:v>https://produto.mercadolivre.com.br/MLB-6632626272-power-bank-20000mah-carregador-portatil-rapido-com-display-_JM</x:v>
      </x:c>
      <x:c r="M8" s="12" t="str"/>
      <x:c r="N8" s="14" t="str">
        <x:v>Para converter / validar</x:v>
      </x:c>
      <x:c r="O8" t="str">
        <x:v>verificar capacidade e certificações</x:v>
      </x:c>
      <x:c r="P8" t="str">
        <x:v>turn236137search5</x:v>
      </x:c>
      <x:c r="Q8" t="str">
        <x:v>26/10/2026 (página indexada, atualização variável)</x:v>
      </x:c>
    </x:row>
    <x:row r="9" ht="28" customHeight="1">
      <x:c r="A9" t="n">
        <x:v>8</x:v>
      </x:c>
      <x:c r="B9" t="str">
        <x:v>Casa</x:v>
      </x:c>
      <x:c r="C9" t="str">
        <x:v>Garrafa térmica personalizada 600 ml</x:v>
      </x:c>
      <x:c r="D9" t="str">
        <x:v>MLB-4455193407</x:v>
      </x:c>
      <x:c r="E9" s="2" t="n">
        <x:v>74.99</x:v>
      </x:c>
      <x:c r="F9" s="2" t="n">
        <x:v>42.74</x:v>
      </x:c>
      <x:c r="G9" s="4" t="n">
        <x:f>IF(AND(E9&gt;0,F9&gt;0),1-F9/E9,"")</x:f>
        <x:v>0.4300573409787971</x:v>
      </x:c>
      <x:c r="H9" t="str">
        <x:v>Normal</x:v>
      </x:c>
      <x:c r="I9" t="str">
        <x:v>+1 mil</x:v>
      </x:c>
      <x:c r="J9" t="n">
        <x:v>4.9</x:v>
      </x:c>
      <x:c r="K9" t="n">
        <x:v>432</x:v>
      </x:c>
      <x:c r="L9" t="str">
        <x:v>https://produto.mercadolivre.com.br/MLB-4455193407-garrafa-agua-termica-600ml-nome-ou-logo-gravado-a-laser-_JM</x:v>
      </x:c>
      <x:c r="M9" s="12" t="str"/>
      <x:c r="N9" s="14" t="str">
        <x:v>Para converter / validar</x:v>
      </x:c>
      <x:c r="O9" t="str">
        <x:v>escolher variação</x:v>
      </x:c>
      <x:c r="P9" t="str">
        <x:v>turn611919search7</x:v>
      </x:c>
      <x:c r="Q9" t="str">
        <x:v>26/10/2026 (página indexada, atualização variável)</x:v>
      </x:c>
    </x:row>
    <x:row r="10" ht="28" customHeight="1">
      <x:c r="A10" t="n">
        <x:v>9</x:v>
      </x:c>
      <x:c r="B10" t="str">
        <x:v>Casa</x:v>
      </x:c>
      <x:c r="C10" t="str">
        <x:v>Luminária LED recarregável 3 cores</x:v>
      </x:c>
      <x:c r="D10" t="str">
        <x:v>MLB-6024786036</x:v>
      </x:c>
      <x:c r="E10" s="2" t="n">
        <x:v>69</x:v>
      </x:c>
      <x:c r="F10" s="2" t="n">
        <x:v>38.64</x:v>
      </x:c>
      <x:c r="G10" s="4" t="n">
        <x:f>IF(AND(E10&gt;0,F10&gt;0),1-F10/E10,"")</x:f>
        <x:v>0.43999999999999995</x:v>
      </x:c>
      <x:c r="H10" t="str">
        <x:v>Normal</x:v>
      </x:c>
      <x:c r="I10" t="str">
        <x:v>+1 mil</x:v>
      </x:c>
      <x:c r="J10" t="n">
        <x:v>4.9</x:v>
      </x:c>
      <x:c r="K10" t="n">
        <x:v>168</x:v>
      </x:c>
      <x:c r="L10" t="str">
        <x:v>https://produto.mercadolivre.com.br/MLB-6024786036-luminaria-led-3-cores-sem-fio-abajur-de-mesa-recarregavel-_JM</x:v>
      </x:c>
      <x:c r="M10" s="12" t="str"/>
      <x:c r="N10" s="14" t="str">
        <x:v>Para converter / validar</x:v>
      </x:c>
      <x:c r="O10" t="str">
        <x:v>boa relação entre preço e avaliações</x:v>
      </x:c>
      <x:c r="P10" t="str">
        <x:v>turn383087search3</x:v>
      </x:c>
      <x:c r="Q10" t="str">
        <x:v>26/10/2026 (página indexada, atualização variável)</x:v>
      </x:c>
    </x:row>
    <x:row r="11" ht="28" customHeight="1">
      <x:c r="A11" t="n">
        <x:v>10</x:v>
      </x:c>
      <x:c r="B11" t="str">
        <x:v>Tecnologia</x:v>
      </x:c>
      <x:c r="C11" t="str">
        <x:v>Power Bank 60.000mAh 100W</x:v>
      </x:c>
      <x:c r="D11" t="str">
        <x:v>MLB-5670624630</x:v>
      </x:c>
      <x:c r="E11" s="2" t="n">
        <x:v>519</x:v>
      </x:c>
      <x:c r="F11" s="2" t="n">
        <x:v>302.16</x:v>
      </x:c>
      <x:c r="G11" s="4" t="n">
        <x:f>IF(AND(E11&gt;0,F11&gt;0),1-F11/E11,"")</x:f>
        <x:v>0.41780346820809244</x:v>
      </x:c>
      <x:c r="H11" t="str">
        <x:v>Pix</x:v>
      </x:c>
      <x:c r="I11" t="str">
        <x:v>+1 mil</x:v>
      </x:c>
      <x:c r="J11" t="n">
        <x:v>4.8</x:v>
      </x:c>
      <x:c r="K11" t="n">
        <x:v>208</x:v>
      </x:c>
      <x:c r="L11" t="str">
        <x:v>https://produto.mercadolivre.com.br/MLB-5670624630-power-bank-60000mah-carregador-portatil-turbo-100w-starlink-_JM</x:v>
      </x:c>
      <x:c r="M11" s="12" t="str"/>
      <x:c r="N11" s="14" t="str">
        <x:v>Para converter / validar</x:v>
      </x:c>
      <x:c r="O11" t="str">
        <x:v>validar potência/capacidade anunciadas</x:v>
      </x:c>
      <x:c r="P11" t="str">
        <x:v>turn236137search10</x:v>
      </x:c>
      <x:c r="Q11" t="str">
        <x:v>26/10/2026 (página indexada, atualização variável)</x:v>
      </x:c>
    </x:row>
    <x:row r="12" ht="28" customHeight="1">
      <x:c r="A12" t="n">
        <x:v>11</x:v>
      </x:c>
      <x:c r="B12" t="str">
        <x:v>Tecnologia</x:v>
      </x:c>
      <x:c r="C12" t="str">
        <x:v>Power Bank 30.000 mAh 22.5W</x:v>
      </x:c>
      <x:c r="D12" t="str">
        <x:v>MLB-6712336626</x:v>
      </x:c>
      <x:c r="E12" s="2" t="n">
        <x:v>199.9</x:v>
      </x:c>
      <x:c r="F12" s="2" t="n">
        <x:v>119.94</x:v>
      </x:c>
      <x:c r="G12" s="4" t="n">
        <x:f>IF(AND(E12&gt;0,F12&gt;0),1-F12/E12,"")</x:f>
        <x:v>0.4</x:v>
      </x:c>
      <x:c r="H12" t="str">
        <x:v>Normal</x:v>
      </x:c>
      <x:c r="I12" t="str">
        <x:v>+1 mil</x:v>
      </x:c>
      <x:c r="J12" t="n">
        <x:v>4.9</x:v>
      </x:c>
      <x:c r="K12" t="n">
        <x:v>322</x:v>
      </x:c>
      <x:c r="L12" t="str">
        <x:v>https://produto.mercadolivre.com.br/MLB-6712336626-power-bank-carregador-portatil-rapido-30000mah-225w-turbo-_JM</x:v>
      </x:c>
      <x:c r="M12" s="12" t="str"/>
      <x:c r="N12" s="14" t="str">
        <x:v>Para converter / validar</x:v>
      </x:c>
      <x:c r="O12" t="str">
        <x:v>revalidar estoque</x:v>
      </x:c>
      <x:c r="P12" t="str">
        <x:v>turn236137search13</x:v>
      </x:c>
      <x:c r="Q12" t="str">
        <x:v>26/10/2026 (página indexada, atualização variável)</x:v>
      </x:c>
    </x:row>
    <x:row r="13" ht="28" customHeight="1">
      <x:c r="A13" t="n">
        <x:v>12</x:v>
      </x:c>
      <x:c r="B13" t="str">
        <x:v>Casa</x:v>
      </x:c>
      <x:c r="C13" t="str">
        <x:v>Air Fryer Mondial AFN-40-FR 4L vermelha</x:v>
      </x:c>
      <x:c r="D13" t="str">
        <x:v>MLB-2025640111</x:v>
      </x:c>
      <x:c r="E13" s="2" t="n">
        <x:v>479.9</x:v>
      </x:c>
      <x:c r="F13" s="2" t="n">
        <x:v>397.84</x:v>
      </x:c>
      <x:c r="G13" s="4" t="n">
        <x:f>IF(AND(E13&gt;0,F13&gt;0),1-F13/E13,"")</x:f>
        <x:v>0.17099395707439047</x:v>
      </x:c>
      <x:c r="H13" t="str">
        <x:v>Normal</x:v>
      </x:c>
      <x:c r="I13" t="str">
        <x:v>+5 mil</x:v>
      </x:c>
      <x:c r="J13" t="n">
        <x:v>4.8</x:v>
      </x:c>
      <x:c r="K13" t="n">
        <x:v>1558</x:v>
      </x:c>
      <x:c r="L13" t="str">
        <x:v>https://produto.mercadolivre.com.br/MLB-2025640111-fritadeira-air-fryer-sem-oleo-afn-40-fr-4l-vermelha-mondial-_JM</x:v>
      </x:c>
      <x:c r="M13" s="12" t="str"/>
      <x:c r="N13" s="14" t="str">
        <x:v>Para converter / validar</x:v>
      </x:c>
      <x:c r="O13" t="str">
        <x:v>histórico expressivo</x:v>
      </x:c>
      <x:c r="P13" t="str">
        <x:v>turn471306search2</x:v>
      </x:c>
      <x:c r="Q13" t="str">
        <x:v>26/10/2026 (página indexada, atualização variável)</x:v>
      </x:c>
    </x:row>
    <x:row r="14" ht="28" customHeight="1">
      <x:c r="A14" t="n">
        <x:v>13</x:v>
      </x:c>
      <x:c r="B14" t="str">
        <x:v>Casa</x:v>
      </x:c>
      <x:c r="C14" t="str">
        <x:v>Garrafa térmica 600 ml squeeze</x:v>
      </x:c>
      <x:c r="D14" t="str">
        <x:v>MLB-4249663118</x:v>
      </x:c>
      <x:c r="E14" s="2" t="n">
        <x:v>69.99</x:v>
      </x:c>
      <x:c r="F14" s="2" t="n">
        <x:v>48.99</x:v>
      </x:c>
      <x:c r="G14" s="4" t="n">
        <x:f>IF(AND(E14&gt;0,F14&gt;0),1-F14/E14,"")</x:f>
        <x:v>0.3000428632661808</x:v>
      </x:c>
      <x:c r="H14" t="str">
        <x:v>Normal</x:v>
      </x:c>
      <x:c r="I14" t="str">
        <x:v>+1 mil</x:v>
      </x:c>
      <x:c r="J14" t="n">
        <x:v>4.7</x:v>
      </x:c>
      <x:c r="K14" t="n">
        <x:v>478</x:v>
      </x:c>
      <x:c r="L14" t="str">
        <x:v>https://produto.mercadolivre.com.br/MLB-4249663118-garrafa-termica-600ml-flip-squeeze-alca-canudo-academia-_JM</x:v>
      </x:c>
      <x:c r="M14" s="12" t="str"/>
      <x:c r="N14" s="14" t="str">
        <x:v>Para converter / validar</x:v>
      </x:c>
      <x:c r="O14" t="str">
        <x:v>cor lilás</x:v>
      </x:c>
      <x:c r="P14" t="str">
        <x:v>turn611919search4</x:v>
      </x:c>
      <x:c r="Q14" t="str">
        <x:v>26/10/2026 (página indexada, atualização variável)</x:v>
      </x:c>
    </x:row>
    <x:row r="15" ht="28" customHeight="1">
      <x:c r="A15" t="n">
        <x:v>14</x:v>
      </x:c>
      <x:c r="B15" t="str">
        <x:v>Casa</x:v>
      </x:c>
      <x:c r="C15" t="str">
        <x:v>Garrafa térmica 400 ml Fast Open</x:v>
      </x:c>
      <x:c r="D15" t="str">
        <x:v>MLB-5012504196</x:v>
      </x:c>
      <x:c r="E15" s="2" t="n">
        <x:v>50.74</x:v>
      </x:c>
      <x:c r="F15" s="2" t="n">
        <x:v>31</x:v>
      </x:c>
      <x:c r="G15" s="4" t="n">
        <x:f>IF(AND(E15&gt;0,F15&gt;0),1-F15/E15,"")</x:f>
        <x:v>0.3890421757981869</x:v>
      </x:c>
      <x:c r="H15" t="str">
        <x:v>Possível desconto Pix/cupom</x:v>
      </x:c>
      <x:c r="I15" t="str">
        <x:v>+1 mil</x:v>
      </x:c>
      <x:c r="J15" t="n">
        <x:v>4.7</x:v>
      </x:c>
      <x:c r="K15" t="n">
        <x:v>301</x:v>
      </x:c>
      <x:c r="L15" t="str">
        <x:v>https://produto.mercadolivre.com.br/MLB-5012504196-garrafa-termica-400ml-aco-inox-fast-open-quente-12h-frio-24h-_JM</x:v>
      </x:c>
      <x:c r="M15" s="12" t="str"/>
      <x:c r="N15" s="14" t="str">
        <x:v>Para converter / validar</x:v>
      </x:c>
      <x:c r="O15" t="str">
        <x:v>rever composição de descontos</x:v>
      </x:c>
      <x:c r="P15" t="str">
        <x:v>turn611919search8</x:v>
      </x:c>
      <x:c r="Q15" t="str">
        <x:v>26/10/2026 (página indexada, atualização variável)</x:v>
      </x:c>
    </x:row>
    <x:row r="16" ht="28" customHeight="1">
      <x:c r="A16" t="n">
        <x:v>15</x:v>
      </x:c>
      <x:c r="B16" t="str">
        <x:v>Organização</x:v>
      </x:c>
      <x:c r="C16" t="str">
        <x:v>Nécessaire masculina viagem</x:v>
      </x:c>
      <x:c r="D16" t="str">
        <x:v>MLB-4129056096</x:v>
      </x:c>
      <x:c r="E16" s="2" t="n">
        <x:v>49.99</x:v>
      </x:c>
      <x:c r="F16" s="2" t="n">
        <x:v>39.99</x:v>
      </x:c>
      <x:c r="G16" s="4" t="n">
        <x:f>IF(AND(E16&gt;0,F16&gt;0),1-F16/E16,"")</x:f>
        <x:v>0.20004000800160027</x:v>
      </x:c>
      <x:c r="H16" t="str">
        <x:v>Normal</x:v>
      </x:c>
      <x:c r="I16" t="str">
        <x:v>+1 mil</x:v>
      </x:c>
      <x:c r="J16" t="n">
        <x:v>4.9</x:v>
      </x:c>
      <x:c r="K16" t="n">
        <x:v>629</x:v>
      </x:c>
      <x:c r="L16" t="str">
        <x:v>https://produto.mercadolivre.com.br/MLB-4129056096-necessaire-masculina-organizador-acessorios-viagem-trabalho-_JM</x:v>
      </x:c>
      <x:c r="M16" s="12" t="str"/>
      <x:c r="N16" s="14" t="str">
        <x:v>Para converter / validar</x:v>
      </x:c>
      <x:c r="O16" t="str">
        <x:v>compra de impulso</x:v>
      </x:c>
      <x:c r="P16" t="str">
        <x:v>turn611919search9</x:v>
      </x:c>
      <x:c r="Q16" t="str">
        <x:v>26/10/2026 (página indexada, atualização variável)</x:v>
      </x:c>
    </x:row>
    <x:row r="17" ht="28" customHeight="1">
      <x:c r="A17" t="n">
        <x:v>16</x:v>
      </x:c>
      <x:c r="B17" t="str">
        <x:v>Beleza</x:v>
      </x:c>
      <x:c r="C17" t="str">
        <x:v>Kit maquiagem 20 itens</x:v>
      </x:c>
      <x:c r="D17" t="str">
        <x:v>MLB-4105047889</x:v>
      </x:c>
      <x:c r="E17" s="2" t="n">
        <x:v>147.7</x:v>
      </x:c>
      <x:c r="F17" s="2" t="n">
        <x:v>121.31</x:v>
      </x:c>
      <x:c r="G17" s="4" t="n">
        <x:f>IF(AND(E17&gt;0,F17&gt;0),1-F17/E17,"")</x:f>
        <x:v>0.17867298578199042</x:v>
      </x:c>
      <x:c r="H17" t="str">
        <x:v>Pagamento promocional</x:v>
      </x:c>
      <x:c r="I17" t="str">
        <x:v>+1 mil</x:v>
      </x:c>
      <x:c r="J17" t="n">
        <x:v>4.8</x:v>
      </x:c>
      <x:c r="K17" t="n">
        <x:v>909</x:v>
      </x:c>
      <x:c r="L17" t="str">
        <x:v>https://produto.mercadolivre.com.br/MLB-4105047889-kit-maquiagem-20-itens-base-blush-gloss-rimel-paleta-pinceis-_JM</x:v>
      </x:c>
      <x:c r="M17" s="12" t="str"/>
      <x:c r="N17" s="14" t="str">
        <x:v>Para converter / validar</x:v>
      </x:c>
      <x:c r="O17" t="str">
        <x:v>tom de pele específico</x:v>
      </x:c>
      <x:c r="P17" t="str">
        <x:v>turn383087search2</x:v>
      </x:c>
      <x:c r="Q17" t="str">
        <x:v>26/10/2026 (página indexada, atualização variável)</x:v>
      </x:c>
    </x:row>
    <x:row r="18" ht="28" customHeight="1">
      <x:c r="A18" t="n">
        <x:v>17</x:v>
      </x:c>
      <x:c r="B18" t="str">
        <x:v>Tecnologia</x:v>
      </x:c>
      <x:c r="C18" t="str">
        <x:v>Headphone JBL Tune 520BT azul</x:v>
      </x:c>
      <x:c r="D18" t="str">
        <x:v>MLB-3455569881</x:v>
      </x:c>
      <x:c r="E18" s="2" t="n">
        <x:v>319.99</x:v>
      </x:c>
      <x:c r="F18" s="2" t="n">
        <x:v>229.91</x:v>
      </x:c>
      <x:c r="G18" s="4" t="n">
        <x:f>IF(AND(E18&gt;0,F18&gt;0),1-F18/E18,"")</x:f>
        <x:v>0.28150879714991095</x:v>
      </x:c>
      <x:c r="H18" t="str">
        <x:v>Pix</x:v>
      </x:c>
      <x:c r="I18" t="str">
        <x:v>+500</x:v>
      </x:c>
      <x:c r="J18" t="n">
        <x:v>4.9</x:v>
      </x:c>
      <x:c r="K18" t="n">
        <x:v>194</x:v>
      </x:c>
      <x:c r="L18" t="str">
        <x:v>https://produto.mercadolivre.com.br/MLB-3455569881-fone-de-ouvido-headphone-bluetooth-jbl-tune-520bt-original-_JM</x:v>
      </x:c>
      <x:c r="M18" s="12" t="str"/>
      <x:c r="N18" s="14" t="str">
        <x:v>Para converter / validar</x:v>
      </x:c>
      <x:c r="O18" t="str">
        <x:v>verificar cor e vendedor</x:v>
      </x:c>
      <x:c r="P18" t="str">
        <x:v>turn471306search0</x:v>
      </x:c>
      <x:c r="Q18" t="str">
        <x:v>26/10/2026 (página indexada, atualização variável)</x:v>
      </x:c>
    </x:row>
    <x:row r="19" ht="28" customHeight="1">
      <x:c r="A19" t="n">
        <x:v>18</x:v>
      </x:c>
      <x:c r="B19" t="str">
        <x:v>Casa</x:v>
      </x:c>
      <x:c r="C19" t="str">
        <x:v>Garrafa térmica 1200ml</x:v>
      </x:c>
      <x:c r="D19" t="str">
        <x:v>MLB-5281931488</x:v>
      </x:c>
      <x:c r="E19" s="2" t="n">
        <x:v>78.58</x:v>
      </x:c>
      <x:c r="F19" s="2" t="n">
        <x:v>64.79</x:v>
      </x:c>
      <x:c r="G19" s="4" t="n">
        <x:f>IF(AND(E19&gt;0,F19&gt;0),1-F19/E19,"")</x:f>
        <x:v>0.17548994655128525</x:v>
      </x:c>
      <x:c r="H19" t="str">
        <x:v>Normal</x:v>
      </x:c>
      <x:c r="I19" t="str">
        <x:v>+1 mil</x:v>
      </x:c>
      <x:c r="J19" t="n">
        <x:v>4.8</x:v>
      </x:c>
      <x:c r="K19" t="n">
        <x:v>423</x:v>
      </x:c>
      <x:c r="L19" t="str">
        <x:v>https://produto.mercadolivre.com.br/MLB-5281931488-garrafa-termica-vacuum-1200ml-grande-capacidade-quente-frio-_JM</x:v>
      </x:c>
      <x:c r="M19" s="12" t="str"/>
      <x:c r="N19" s="14" t="str">
        <x:v>Para converter / validar</x:v>
      </x:c>
      <x:c r="O19" t="str">
        <x:v>estoque limitado</x:v>
      </x:c>
      <x:c r="P19" t="str">
        <x:v>turn611919search0</x:v>
      </x:c>
      <x:c r="Q19" t="str">
        <x:v>26/10/2026 (página indexada, atualização variável)</x:v>
      </x:c>
    </x:row>
    <x:row r="20" ht="28" customHeight="1">
      <x:c r="A20" t="n">
        <x:v>19</x:v>
      </x:c>
      <x:c r="B20" t="str">
        <x:v>Tecnologia</x:v>
      </x:c>
      <x:c r="C20" t="str">
        <x:v>Mouse Bluetooth para MacBook M2/M3/M4</x:v>
      </x:c>
      <x:c r="D20" t="str">
        <x:v>MLB-1798064068</x:v>
      </x:c>
      <x:c r="E20" s="2" t="n">
        <x:v>136.58</x:v>
      </x:c>
      <x:c r="F20" s="2" t="n">
        <x:v>109.25</x:v>
      </x:c>
      <x:c r="G20" s="4" t="n">
        <x:f>IF(AND(E20&gt;0,F20&gt;0),1-F20/E20,"")</x:f>
        <x:v>0.20010250402694396</x:v>
      </x:c>
      <x:c r="H20" t="str">
        <x:v>Pix</x:v>
      </x:c>
      <x:c r="I20" t="str">
        <x:v>+1 mil</x:v>
      </x:c>
      <x:c r="J20" t="n">
        <x:v>4.4</x:v>
      </x:c>
      <x:c r="K20" t="n">
        <x:v>155</x:v>
      </x:c>
      <x:c r="L20" t="str">
        <x:v>https://produto.mercadolivre.com.br/MLB-1798064068-mouse-sem-fio-bluetooth-recarregavel-para-macbook-m2-m3-e-m4-_JM</x:v>
      </x:c>
      <x:c r="M20" s="12" t="str"/>
      <x:c r="N20" s="14" t="str">
        <x:v>Para converter / validar</x:v>
      </x:c>
      <x:c r="O20" t="str">
        <x:v>cautela com compatibilidade</x:v>
      </x:c>
      <x:c r="P20" t="str">
        <x:v>turn236137search2</x:v>
      </x:c>
      <x:c r="Q20" t="str">
        <x:v>26/10/2026 (página indexada, atualização variável)</x:v>
      </x:c>
    </x:row>
    <x:row r="21" ht="28" customHeight="1">
      <x:c r="A21" t="n">
        <x:v>20</x:v>
      </x:c>
      <x:c r="B21" t="str">
        <x:v>Beleza</x:v>
      </x:c>
      <x:c r="C21" t="str">
        <x:v>Escova secadora Taiff Easy Style 127V</x:v>
      </x:c>
      <x:c r="D21" t="str">
        <x:v>MLB-1935006010</x:v>
      </x:c>
      <x:c r="E21" s="2" t="n">
        <x:v>355</x:v>
      </x:c>
      <x:c r="F21" s="2" t="n">
        <x:v>273.12</x:v>
      </x:c>
      <x:c r="G21" s="4" t="n">
        <x:f>IF(AND(E21&gt;0,F21&gt;0),1-F21/E21,"")</x:f>
        <x:v>0.2306478873239437</x:v>
      </x:c>
      <x:c r="H21" t="str">
        <x:v>Pix</x:v>
      </x:c>
      <x:c r="I21" t="str">
        <x:v>+500</x:v>
      </x:c>
      <x:c r="J21" t="n">
        <x:v>4.6</x:v>
      </x:c>
      <x:c r="K21" t="n">
        <x:v>218</x:v>
      </x:c>
      <x:c r="L21" t="str">
        <x:v>https://produto.mercadolivre.com.br/MLB-1935006010-escova-secadora-modeladora-oval-easy-style-taiff-127v-_JM</x:v>
      </x:c>
      <x:c r="M21" s="12" t="str"/>
      <x:c r="N21" s="14" t="str">
        <x:v>Para converter / validar</x:v>
      </x:c>
      <x:c r="O21" t="str">
        <x:v>conferir voltagem</x:v>
      </x:c>
      <x:c r="P21" t="str">
        <x:v>turn383087search13</x:v>
      </x:c>
      <x:c r="Q21" t="str">
        <x:v>26/10/2026 (página indexada, atualização variável)</x:v>
      </x:c>
    </x:row>
    <x:row r="22" ht="28" customHeight="1">
      <x:c r="A22" t="n">
        <x:v>21</x:v>
      </x:c>
      <x:c r="B22" t="str">
        <x:v>Tecnologia</x:v>
      </x:c>
      <x:c r="C22" t="str">
        <x:v>Cabo USB-C 60W 20cm</x:v>
      </x:c>
      <x:c r="D22" t="str">
        <x:v>MLB-2684486602</x:v>
      </x:c>
      <x:c r="E22" s="2" t="n">
        <x:v>26.9</x:v>
      </x:c>
      <x:c r="F22" s="2" t="n">
        <x:v>24.21</x:v>
      </x:c>
      <x:c r="G22" s="4" t="n">
        <x:f>IF(AND(E22&gt;0,F22&gt;0),1-F22/E22,"")</x:f>
        <x:v>0.09999999999999987</x:v>
      </x:c>
      <x:c r="H22" t="str">
        <x:v>Normal</x:v>
      </x:c>
      <x:c r="I22" t="str">
        <x:v>+1 mil</x:v>
      </x:c>
      <x:c r="J22" t="n">
        <x:v>4.7</x:v>
      </x:c>
      <x:c r="K22" t="n">
        <x:v>597</x:v>
      </x:c>
      <x:c r="L22" t="str">
        <x:v>https://produto.mercadolivre.com.br/MLB-2684486602-cabo-usb-c-para-tipo-c-pd-turbo-60w-curto-20cm-_JM</x:v>
      </x:c>
      <x:c r="M22" s="12" t="str"/>
      <x:c r="N22" s="14" t="str">
        <x:v>Para converter / validar</x:v>
      </x:c>
      <x:c r="O22" t="str">
        <x:v>baixa comissão unitária potencial</x:v>
      </x:c>
      <x:c r="P22" t="str">
        <x:v>turn383087search14</x:v>
      </x:c>
      <x:c r="Q22" t="str">
        <x:v>26/10/2026 (página indexada, atualização variável)</x:v>
      </x:c>
    </x:row>
    <x:row r="23" ht="28" customHeight="1">
      <x:c r="A23" t="n">
        <x:v>22</x:v>
      </x:c>
      <x:c r="B23" t="str">
        <x:v>Ferramentas</x:v>
      </x:c>
      <x:c r="C23" t="str">
        <x:v>Furadeira parafusadeira sem fio portátil</x:v>
      </x:c>
      <x:c r="D23" t="str">
        <x:v>MLB-3035034561</x:v>
      </x:c>
      <x:c r="E23" s="2" t="n">
        <x:v>533.43</x:v>
      </x:c>
      <x:c r="F23" s="2" t="n">
        <x:v>441.67</x:v>
      </x:c>
      <x:c r="G23" s="4" t="n">
        <x:f>IF(AND(E23&gt;0,F23&gt;0),1-F23/E23,"")</x:f>
        <x:v>0.17201882158858695</x:v>
      </x:c>
      <x:c r="H23" t="str">
        <x:v>Pix</x:v>
      </x:c>
      <x:c r="I23" t="str">
        <x:v>+100</x:v>
      </x:c>
      <x:c r="J23" t="n">
        <x:v>4.7</x:v>
      </x:c>
      <x:c r="K23" t="n">
        <x:v>147</x:v>
      </x:c>
      <x:c r="L23" t="str">
        <x:v>https://produto.mercadolivre.com.br/MLB-3035034561-furadeira-parafusadeira-sem-fio-portatil-_JM</x:v>
      </x:c>
      <x:c r="M23" s="12" t="str"/>
      <x:c r="N23" s="14" t="str">
        <x:v>Para converter / validar</x:v>
      </x:c>
      <x:c r="O23" t="str">
        <x:v>verificar variação e carregador</x:v>
      </x:c>
      <x:c r="P23" t="str">
        <x:v>turn611919search13</x:v>
      </x:c>
      <x:c r="Q23" t="str">
        <x:v>26/10/2026 (página indexada, atualização variável)</x:v>
      </x:c>
    </x:row>
    <x:row r="24" ht="28" customHeight="1">
      <x:c r="A24" t="n">
        <x:v>23</x:v>
      </x:c>
      <x:c r="B24" t="str">
        <x:v>Beleza</x:v>
      </x:c>
      <x:c r="C24" t="str">
        <x:v>Kit maquiagem básico iniciante</x:v>
      </x:c>
      <x:c r="D24" t="str">
        <x:v>MLB-1556913899</x:v>
      </x:c>
      <x:c r="E24" s="2" t="n">
        <x:v>59.95</x:v>
      </x:c>
      <x:c r="F24" s="2" t="n">
        <x:v>56.95</x:v>
      </x:c>
      <x:c r="G24" s="4" t="n">
        <x:f>IF(AND(E24&gt;0,F24&gt;0),1-F24/E24,"")</x:f>
        <x:v>0.05004170141784825</x:v>
      </x:c>
      <x:c r="H24" t="str">
        <x:v>Pagamento promocional</x:v>
      </x:c>
      <x:c r="I24" t="str">
        <x:v>+1 mil</x:v>
      </x:c>
      <x:c r="J24" t="n">
        <x:v>4.5</x:v>
      </x:c>
      <x:c r="K24" t="n">
        <x:v>167</x:v>
      </x:c>
      <x:c r="L24" t="str">
        <x:v>https://produto.mercadolivre.com.br/MLB-1556913899-kit-maquiagem-para-iniciante-basico-base-primer-sombras-_JM</x:v>
      </x:c>
      <x:c r="M24" s="12" t="str"/>
      <x:c r="N24" s="14" t="str">
        <x:v>Para converter / validar</x:v>
      </x:c>
      <x:c r="O24" t="str">
        <x:v>desconto baixo</x:v>
      </x:c>
      <x:c r="P24" t="str">
        <x:v>turn383087search1</x:v>
      </x:c>
      <x:c r="Q24" t="str">
        <x:v>26/10/2026 (página indexada, atualização variável)</x:v>
      </x:c>
    </x:row>
    <x:row r="25" ht="28" customHeight="1">
      <x:c r="A25" t="n">
        <x:v>24</x:v>
      </x:c>
      <x:c r="B25" t="str">
        <x:v>Casa</x:v>
      </x:c>
      <x:c r="C25" t="str">
        <x:v>Air Fryer Mondial AFN-40-DI 4L 110V</x:v>
      </x:c>
      <x:c r="D25" t="str">
        <x:v>MLB-7519481690</x:v>
      </x:c>
      <x:c r="E25" s="2" t="n">
        <x:v>284.99</x:v>
      </x:c>
      <x:c r="F25" s="2" t="n">
        <x:v>270.74</x:v>
      </x:c>
      <x:c r="G25" s="4" t="n">
        <x:f>IF(AND(E25&gt;0,F25&gt;0),1-F25/E25,"")</x:f>
        <x:v>0.05000175444752453</x:v>
      </x:c>
      <x:c r="H25" t="str">
        <x:v>Pix</x:v>
      </x:c>
      <x:c r="I25" t="str">
        <x:v>+25</x:v>
      </x:c>
      <x:c r="J25" t="n">
        <x:v>5</x:v>
      </x:c>
      <x:c r="K25" t="n">
        <x:v>2</x:v>
      </x:c>
      <x:c r="L25" t="str">
        <x:v>https://produto.mercadolivre.com.br/MLB-7519481690-air-fryer-mondial-family-afn-40-di-preto-4l-preto-110v-_JM</x:v>
      </x:c>
      <x:c r="M25" s="12" t="str"/>
      <x:c r="N25" s="14" t="str">
        <x:v>Para converter / validar</x:v>
      </x:c>
      <x:c r="O25" t="str">
        <x:v>desconto baixo e poucas avaliações</x:v>
      </x:c>
      <x:c r="P25" t="str">
        <x:v>turn471306search1</x:v>
      </x:c>
      <x:c r="Q25" t="str">
        <x:v>26/10/2026 (página indexada, atualização variável)</x:v>
      </x:c>
    </x:row>
    <x:row r="26" ht="28" customHeight="1">
      <x:c r="A26" t="n">
        <x:v>25</x:v>
      </x:c>
      <x:c r="B26" t="str">
        <x:v>Ferramentas</x:v>
      </x:c>
      <x:c r="C26" t="str">
        <x:v>Parafusadeira elétrica 33 peças 3,6V</x:v>
      </x:c>
      <x:c r="D26" t="str">
        <x:v>MLB-6757476308</x:v>
      </x:c>
      <x:c r="E26" s="2" t="n">
        <x:v>187.49</x:v>
      </x:c>
      <x:c r="F26" s="2" t="n">
        <x:v>178.12</x:v>
      </x:c>
      <x:c r="G26" s="4" t="n">
        <x:f>IF(AND(E26&gt;0,F26&gt;0),1-F26/E26,"")</x:f>
        <x:v>0.04997599871993175</x:v>
      </x:c>
      <x:c r="H26" t="str">
        <x:v>Pix</x:v>
      </x:c>
      <x:c r="I26" t="str">
        <x:v>+100</x:v>
      </x:c>
      <x:c r="J26" t="n">
        <x:v>4.9</x:v>
      </x:c>
      <x:c r="K26" t="n">
        <x:v>30</x:v>
      </x:c>
      <x:c r="L26" t="str">
        <x:v>https://produto.mercadolivre.com.br/MLB-6757476308-parafusadeira-eletrica-chave-de-fenda-33-pecas-36v-127220v-_JM</x:v>
      </x:c>
      <x:c r="M26" s="12" t="str"/>
      <x:c r="N26" s="14" t="str">
        <x:v>Para converter / validar</x:v>
      </x:c>
      <x:c r="O26" t="str">
        <x:v>desconto baixo</x:v>
      </x:c>
      <x:c r="P26" t="str">
        <x:v>turn611919search14</x:v>
      </x:c>
      <x:c r="Q26" t="str">
        <x:v>26/10/2026 (página indexada, atualização variável)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>
      <x:c r="A1" s="7" t="str">
        <x:v>GMAX OFERTAS — LOTE DE ANÚNCIOS INDIVIDUAIS</x:v>
      </x:c>
      <x:c r="B1" s="7" t="str"/>
    </x:row>
    <x:row r="2">
      <x:c r="A2" t="str">
        <x:v>Anúncios individuais</x:v>
      </x:c>
      <x:c r="B2" s="16" t="n">
        <x:v>25</x:v>
      </x:c>
    </x:row>
    <x:row r="3">
      <x:c r="A3" t="str">
        <x:v>Fonte</x:v>
      </x:c>
      <x:c r="B3" s="16" t="str">
        <x:v>Mercado Livre — páginas individuais com dados públicos indexados</x:v>
      </x:c>
    </x:row>
    <x:row r="4">
      <x:c r="A4" t="str">
        <x:v>IMPORTANTE</x:v>
      </x:c>
      <x:c r="B4" s="16" t="str">
        <x:v>Preços e quantidade vendida são retratos de páginas indexadas, não API em tempo real.</x:v>
      </x:c>
    </x:row>
    <x:row r="5">
      <x:c r="A5" t="str">
        <x:v>Conversão</x:v>
      </x:c>
      <x:c r="B5" s="16" t="str">
        <x:v>Copie cada URL da coluna L no Gerador oficial de Afiliados, devolva na coluna M.</x:v>
      </x:c>
    </x:row>
    <x:row r="6">
      <x:c r="A6" t="str">
        <x:v>Variações</x:v>
      </x:c>
      <x:c r="B6" s="16" t="str">
        <x:v>Valide cor, voltagem, cupom, Pix e estoque; ofertas podem mudar.</x:v>
      </x:c>
    </x:row>
    <x:row r="7">
      <x:c r="A7" t="str">
        <x:v>Publicação</x:v>
      </x:c>
      <x:c r="B7" s="16" t="str">
        <x:v>NÃO publicar diretamente. A elegibilidade para afiliado e preço atualizado ainda precisam ser revalidados.</x:v>
      </x:c>
    </x:row>
    <x:row r="8">
      <x:c r="A8" t="str">
        <x:v>Próximo passo</x:v>
      </x:c>
      <x:c r="B8" s="16" t="str">
        <x:v>Devolva esta planilha preenchida para conciliação e importação GMAX.</x:v>
      </x:c>
    </x:row>
  </x:sheetData>
  <x:pageMargins left="0.7" right="0.7" top="0.75" bottom="0.75" header="0.3" footer="0.3"/>
</x:worksheet>
</file>