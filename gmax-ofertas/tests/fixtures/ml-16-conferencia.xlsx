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306337d144a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os GMAX" sheetId="1" r:id="Rea0dda7be7ae43a1"/>
    <x:sheet xmlns:r="http://schemas.openxmlformats.org/officeDocument/2006/relationships" name="Instruções" sheetId="2" r:id="R1ae41307ffdf41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R$ #,##0.00"/>
    <x:numFmt numFmtId="201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243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82ccdd07741ff" /><Relationship Type="http://schemas.openxmlformats.org/officeDocument/2006/relationships/theme" Target="/xl/theme/theme1.xml" Id="R94ded2c484a54ab3" /><Relationship Type="http://schemas.openxmlformats.org/officeDocument/2006/relationships/sharedStrings" Target="/xl/sharedStrings.xml" Id="R029efb95b503490e" /><Relationship Type="http://schemas.openxmlformats.org/officeDocument/2006/relationships/worksheet" Target="/xl/worksheets/sheet1.xml" Id="Rea0dda7be7ae43a1" /><Relationship Type="http://schemas.openxmlformats.org/officeDocument/2006/relationships/worksheet" Target="/xl/worksheets/sheet2.xml" Id="R1ae41307ffdf41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5" hidden="0" customWidth="1"/>
    <x:col min="3" max="3" width="4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7" hidden="0" customWidth="1"/>
    <x:col min="9" max="9" width="12" hidden="0" customWidth="1"/>
    <x:col min="10" max="10" width="49" hidden="0" customWidth="1"/>
    <x:col min="11" max="11" width="34" hidden="0" customWidth="1"/>
    <x:col min="12" max="12" width="13" hidden="0" customWidth="1"/>
    <x:col min="13" max="13" width="27" hidden="0" customWidth="1"/>
    <x:col min="14" max="14" width="34" hidden="0" customWidth="1"/>
    <x:col min="15" max="15" width="60" hidden="0" customWidth="1"/>
  </x:cols>
  <x:sheetData>
    <x:row r="1" ht="34" customHeight="1">
      <x:c r="A1" s="7" t="str">
        <x:v>Rank</x:v>
      </x:c>
      <x:c r="B1" s="7" t="str">
        <x:v>Categoria</x:v>
      </x:c>
      <x:c r="C1" s="7" t="str">
        <x:v>Produto</x:v>
      </x:c>
      <x:c r="D1" s="7" t="str">
        <x:v>De (R$)</x:v>
      </x:c>
      <x:c r="E1" s="7" t="str">
        <x:v>Por (R$)</x:v>
      </x:c>
      <x:c r="F1" s="7" t="str">
        <x:v>Desconto %</x:v>
      </x:c>
      <x:c r="G1" s="7" t="str">
        <x:v>Condição</x:v>
      </x:c>
      <x:c r="H1" s="7" t="str">
        <x:v>Vendas públicas</x:v>
      </x:c>
      <x:c r="I1" s="7" t="str">
        <x:v>Avaliação</x:v>
      </x:c>
      <x:c r="J1" s="7" t="str">
        <x:v>URL de origem</x:v>
      </x:c>
      <x:c r="K1" s="7" t="str">
        <x:v>Tipo do link</x:v>
      </x:c>
      <x:c r="L1" s="7" t="str">
        <x:v>Prioridade</x:v>
      </x:c>
      <x:c r="M1" s="7" t="str">
        <x:v>Link de afiliado informado</x:v>
      </x:c>
      <x:c r="N1" s="7" t="str">
        <x:v>Situação da conciliação</x:v>
      </x:c>
      <x:c r="O1" s="7" t="str">
        <x:v>Observação de segurança</x:v>
      </x:c>
    </x:row>
    <x:row r="2">
      <x:c r="A2" t="n">
        <x:v>1</x:v>
      </x:c>
      <x:c r="B2" t="str">
        <x:v>Ferramentas</x:v>
      </x:c>
      <x:c r="C2" t="str">
        <x:v>Parafusadeira The Black Tools TB-21PX 2 baterias</x:v>
      </x:c>
      <x:c r="D2" s="2" t="n">
        <x:v>319.9</x:v>
      </x:c>
      <x:c r="E2" s="2" t="n">
        <x:v>143.91</x:v>
      </x:c>
      <x:c r="F2" s="4" t="n">
        <x:f>IFERROR((D2-E2)/D2,0)</x:f>
        <x:v>0.5501406689590497</x:v>
      </x:c>
      <x:c r="G2" t="str">
        <x:v>Pix</x:v>
      </x:c>
      <x:c r="H2" t="str">
        <x:v>+250 mil</x:v>
      </x:c>
      <x:c r="I2" t="str">
        <x:v>4,8</x:v>
      </x:c>
      <x:c r="J2" t="str">
        <x:v>https://www.mercadolivre.com.br/parafusadeira-furadeira-de-impacto-profissional-21v-modelo-tb-21px-2-baterias-com-maleta-the-black-tools-127220v-60hz-amarelo/p/MLB30144703</x:v>
      </x:c>
      <x:c r="K2" t="str">
        <x:v>Página de produto</x:v>
      </x:c>
      <x:c r="L2" t="str">
        <x:v>Alta</x:v>
      </x:c>
      <x:c r="M2" t="str">
        <x:v>https://meli.la/1ckuqDL</x:v>
      </x:c>
      <x:c r="N2" t="str">
        <x:v>Link recebido — CONFERIR PRODUTO</x:v>
      </x:c>
      <x:c r="O2" t="str">
        <x:v>Correspondência produto ↔ link não verificada. Preços históricos da pesquisa.</x:v>
      </x:c>
    </x:row>
    <x:row r="3">
      <x:c r="A3" t="n">
        <x:v>2</x:v>
      </x:c>
      <x:c r="B3" t="str">
        <x:v>Ferramentas</x:v>
      </x:c>
      <x:c r="C3" t="str">
        <x:v>Parafusadeira The Black Tools TB12A</x:v>
      </x:c>
      <x:c r="D3" s="2" t="n">
        <x:v>119.9</x:v>
      </x:c>
      <x:c r="E3" s="2" t="n">
        <x:v>71.15</x:v>
      </x:c>
      <x:c r="F3" s="4" t="n">
        <x:f>IFERROR((D3-E3)/D3,0)</x:f>
        <x:v>0.40658882402001667</x:v>
      </x:c>
      <x:c r="G3" t="str">
        <x:v>Pix</x:v>
      </x:c>
      <x:c r="H3" t="str">
        <x:v>+250 mil</x:v>
      </x:c>
      <x:c r="I3" t="str">
        <x:v>4,8</x:v>
      </x:c>
      <x:c r="J3" t="str">
        <x:v>https://www.mercadolivre.com.br/parafusadeira-furadeira-the-black-tools-tb12a-38-a-bateria-cor-amarelo-frequncia-60hz/p/MLB24076624</x:v>
      </x:c>
      <x:c r="K3" t="str">
        <x:v>Página de produto</x:v>
      </x:c>
      <x:c r="L3" t="str">
        <x:v>Alta</x:v>
      </x:c>
      <x:c r="M3" t="str">
        <x:v>https://meli.la/1NZvfUq</x:v>
      </x:c>
      <x:c r="N3" t="str">
        <x:v>Link recebido — CONFERIR PRODUTO</x:v>
      </x:c>
      <x:c r="O3" t="str">
        <x:v>Correspondência produto ↔ link não verificada. Preços históricos da pesquisa.</x:v>
      </x:c>
    </x:row>
    <x:row r="4">
      <x:c r="A4" t="n">
        <x:v>3</x:v>
      </x:c>
      <x:c r="B4" t="str">
        <x:v>Ferramentas</x:v>
      </x:c>
      <x:c r="C4" t="str">
        <x:v>Parafusadeira TB12A + brocas e buchas 300 peças</x:v>
      </x:c>
      <x:c r="D4" s="2" t="n">
        <x:v>199.9</x:v>
      </x:c>
      <x:c r="E4" s="2" t="n">
        <x:v>113.05</x:v>
      </x:c>
      <x:c r="F4" s="4" t="n">
        <x:f>IFERROR((D4-E4)/D4,0)</x:f>
        <x:v>0.43446723361680845</x:v>
      </x:c>
      <x:c r="G4" t="str">
        <x:v>Pix</x:v>
      </x:c>
      <x:c r="H4" t="str">
        <x:v>+10 mil</x:v>
      </x:c>
      <x:c r="I4" t="str">
        <x:v>4,7</x:v>
      </x:c>
      <x:c r="J4" t="str">
        <x:v>https://www.mercadolivre.com.br/parafusadeira-furadeira-38-127220v-a-bateria-12v-tb12a-the-black-tools-jogo-brocas-e-buchas-300-pecas/p/MLB38429032</x:v>
      </x:c>
      <x:c r="K4" t="str">
        <x:v>Página de produto</x:v>
      </x:c>
      <x:c r="L4" t="str">
        <x:v>Alta</x:v>
      </x:c>
      <x:c r="M4" t="str">
        <x:v>https://meli.la/1vFoP3b</x:v>
      </x:c>
      <x:c r="N4" t="str">
        <x:v>Link recebido — CONFERIR PRODUTO</x:v>
      </x:c>
      <x:c r="O4" t="str">
        <x:v>Correspondência produto ↔ link não verificada. Preços históricos da pesquisa.</x:v>
      </x:c>
    </x:row>
    <x:row r="5">
      <x:c r="A5" t="n">
        <x:v>4</x:v>
      </x:c>
      <x:c r="B5" t="str">
        <x:v>Ferramentas</x:v>
      </x:c>
      <x:c r="C5" t="str">
        <x:v>Parafusadeira SIMAKE kit maleta 2 baterias</x:v>
      </x:c>
      <x:c r="D5" s="2" t="n">
        <x:v>299</x:v>
      </x:c>
      <x:c r="E5" s="2" t="n">
        <x:v>119.6</x:v>
      </x:c>
      <x:c r="F5" s="4" t="n">
        <x:f>IFERROR((D5-E5)/D5,0)</x:f>
        <x:v>0.6</x:v>
      </x:c>
      <x:c r="G5" t="str">
        <x:v>Preço exibido</x:v>
      </x:c>
      <x:c r="H5" t="str">
        <x:v>+100 mil</x:v>
      </x:c>
      <x:c r="I5" t="str">
        <x:v>4,7</x:v>
      </x:c>
      <x:c r="J5" t="str">
        <x:v>https://lista.mercadolivre.com.br/ferramentas/ferramentas-eletricas/parafusadeiras/</x:v>
      </x:c>
      <x:c r="K5" t="str">
        <x:v>Página de categoria — localizar anúncio</x:v>
      </x:c>
      <x:c r="L5" t="str">
        <x:v>Alta</x:v>
      </x:c>
      <x:c r="M5" t="str">
        <x:v>https://meli.la/1PKYVPh</x:v>
      </x:c>
      <x:c r="N5" t="str">
        <x:v>Link recebido — CONFERIR PRODUTO</x:v>
      </x:c>
      <x:c r="O5" t="str">
        <x:v>Correspondência produto ↔ link não verificada. Preços históricos da pesquisa.</x:v>
      </x:c>
    </x:row>
    <x:row r="6">
      <x:c r="A6" t="n">
        <x:v>5</x:v>
      </x:c>
      <x:c r="B6" t="str">
        <x:v>Áudio</x:v>
      </x:c>
      <x:c r="C6" t="str">
        <x:v>Soundcore Anker P20i</x:v>
      </x:c>
      <x:c r="D6" s="2" t="n">
        <x:v>299</x:v>
      </x:c>
      <x:c r="E6" s="2" t="n">
        <x:v>146</x:v>
      </x:c>
      <x:c r="F6" s="4" t="n">
        <x:f>IFERROR((D6-E6)/D6,0)</x:f>
        <x:v>0.5117056856187291</x:v>
      </x:c>
      <x:c r="G6" t="str">
        <x:v>Preço exibido</x:v>
      </x:c>
      <x:c r="H6" t="str">
        <x:v>+50 mil</x:v>
      </x:c>
      <x:c r="I6" t="str">
        <x:v>4,8</x:v>
      </x:c>
      <x:c r="J6" t="str">
        <x:v>https://lista.mercadolivre.com.br/celulares-telefones/acessorios-celulares/fones-ouvido/</x:v>
      </x:c>
      <x:c r="K6" t="str">
        <x:v>Página de categoria — localizar anúncio</x:v>
      </x:c>
      <x:c r="L6" t="str">
        <x:v>Alta</x:v>
      </x:c>
      <x:c r="M6" t="str">
        <x:v>https://meli.la/1x2BMGn</x:v>
      </x:c>
      <x:c r="N6" t="str">
        <x:v>Link recebido — CONFERIR PRODUTO</x:v>
      </x:c>
      <x:c r="O6" t="str">
        <x:v>Correspondência produto ↔ link não verificada. Preços históricos da pesquisa.</x:v>
      </x:c>
    </x:row>
    <x:row r="7">
      <x:c r="A7" t="n">
        <x:v>6</x:v>
      </x:c>
      <x:c r="B7" t="str">
        <x:v>Áudio</x:v>
      </x:c>
      <x:c r="C7" t="str">
        <x:v>Soundcore Anker P30i ANC</x:v>
      </x:c>
      <x:c r="D7" s="2" t="n">
        <x:v>389</x:v>
      </x:c>
      <x:c r="E7" s="2" t="n">
        <x:v>196.5</x:v>
      </x:c>
      <x:c r="F7" s="4" t="n">
        <x:f>IFERROR((D7-E7)/D7,0)</x:f>
        <x:v>0.4948586118251928</x:v>
      </x:c>
      <x:c r="G7" t="str">
        <x:v>Preço exibido</x:v>
      </x:c>
      <x:c r="H7" t="str">
        <x:v>+10 mil</x:v>
      </x:c>
      <x:c r="I7" t="str">
        <x:v>4,9</x:v>
      </x:c>
      <x:c r="J7" t="str">
        <x:v>https://lista.mercadolivre.com.br/eletronicos-audio-video/audio/fones-ouvido/</x:v>
      </x:c>
      <x:c r="K7" t="str">
        <x:v>Página de categoria — localizar anúncio</x:v>
      </x:c>
      <x:c r="L7" t="str">
        <x:v>Alta</x:v>
      </x:c>
      <x:c r="M7" t="str">
        <x:v>https://meli.la/2BtLUmM</x:v>
      </x:c>
      <x:c r="N7" t="str">
        <x:v>Link recebido — CONFERIR PRODUTO</x:v>
      </x:c>
      <x:c r="O7" t="str">
        <x:v>Correspondência produto ↔ link não verificada. Preços históricos da pesquisa.</x:v>
      </x:c>
    </x:row>
    <x:row r="8">
      <x:c r="A8" t="n">
        <x:v>7</x:v>
      </x:c>
      <x:c r="B8" t="str">
        <x:v>Áudio</x:v>
      </x:c>
      <x:c r="C8" t="str">
        <x:v>Fone Bluetooth Woosh Pro 4</x:v>
      </x:c>
      <x:c r="D8" s="2" t="n">
        <x:v>78.99</x:v>
      </x:c>
      <x:c r="E8" s="2" t="n">
        <x:v>23.49</x:v>
      </x:c>
      <x:c r="F8" s="4" t="n">
        <x:f>IFERROR((D8-E8)/D8,0)</x:f>
        <x:v>0.7026205848841626</x:v>
      </x:c>
      <x:c r="G8" t="str">
        <x:v>Preço exibido</x:v>
      </x:c>
      <x:c r="H8" t="str">
        <x:v>+100 mil</x:v>
      </x:c>
      <x:c r="I8" t="str">
        <x:v>4,4</x:v>
      </x:c>
      <x:c r="J8" t="str">
        <x:v>https://lista.mercadolivre.com.br/celulares-telefones/acessorios-celulares/fones-ouvido/</x:v>
      </x:c>
      <x:c r="K8" t="str">
        <x:v>Página de categoria — localizar anúncio</x:v>
      </x:c>
      <x:c r="L8" t="str">
        <x:v>Média</x:v>
      </x:c>
      <x:c r="M8" t="str">
        <x:v>https://meli.la/1ZhNwmw</x:v>
      </x:c>
      <x:c r="N8" t="str">
        <x:v>Link recebido — CONFERIR PRODUTO</x:v>
      </x:c>
      <x:c r="O8" t="str">
        <x:v>Correspondência produto ↔ link não verificada. Preços históricos da pesquisa.</x:v>
      </x:c>
    </x:row>
    <x:row r="9">
      <x:c r="A9" t="n">
        <x:v>8</x:v>
      </x:c>
      <x:c r="B9" t="str">
        <x:v>Áudio</x:v>
      </x:c>
      <x:c r="C9" t="str">
        <x:v>JBL Tune 530BT</x:v>
      </x:c>
      <x:c r="D9" s="2" t="n">
        <x:v>259</x:v>
      </x:c>
      <x:c r="E9" s="2" t="n">
        <x:v>200.43</x:v>
      </x:c>
      <x:c r="F9" s="4" t="n">
        <x:f>IFERROR((D9-E9)/D9,0)</x:f>
        <x:v>0.2261389961389961</x:v>
      </x:c>
      <x:c r="G9" t="str">
        <x:v>Preço exibido</x:v>
      </x:c>
      <x:c r="H9" t="str">
        <x:v>+10 mil</x:v>
      </x:c>
      <x:c r="I9" t="str">
        <x:v>4,9</x:v>
      </x:c>
      <x:c r="J9" t="str">
        <x:v>https://lista.mercadolivre.com.br/celulares-telefones/acessorios-celulares/fones-ouvido/</x:v>
      </x:c>
      <x:c r="K9" t="str">
        <x:v>Página de categoria — localizar anúncio</x:v>
      </x:c>
      <x:c r="L9" t="str">
        <x:v>Média</x:v>
      </x:c>
      <x:c r="M9" t="str">
        <x:v>https://meli.la/26h2mu9</x:v>
      </x:c>
      <x:c r="N9" t="str">
        <x:v>Link recebido — CONFERIR PRODUTO</x:v>
      </x:c>
      <x:c r="O9" t="str">
        <x:v>Correspondência produto ↔ link não verificada. Preços históricos da pesquisa.</x:v>
      </x:c>
    </x:row>
    <x:row r="10">
      <x:c r="A10" t="n">
        <x:v>9</x:v>
      </x:c>
      <x:c r="B10" t="str">
        <x:v>Casa</x:v>
      </x:c>
      <x:c r="C10" t="str">
        <x:v>Kit 4 potes acrílicos Rebirth 3,8 L</x:v>
      </x:c>
      <x:c r="D10" s="2" t="n">
        <x:v>199</x:v>
      </x:c>
      <x:c r="E10" s="2" t="n">
        <x:v>76.02</x:v>
      </x:c>
      <x:c r="F10" s="4" t="n">
        <x:f>IFERROR((D10-E10)/D10,0)</x:f>
        <x:v>0.6179899497487438</x:v>
      </x:c>
      <x:c r="G10" t="str">
        <x:v>Preço exibido</x:v>
      </x:c>
      <x:c r="H10" t="str">
        <x:v>+10 mil</x:v>
      </x:c>
      <x:c r="I10" t="str">
        <x:v>4,9</x:v>
      </x:c>
      <x:c r="J10" t="str">
        <x:v>https://lista.mercadolivre.com.br/casa-moveis-decoracao/organizacao-casa/organizadores-cozinha/</x:v>
      </x:c>
      <x:c r="K10" t="str">
        <x:v>Página de categoria — localizar anúncio</x:v>
      </x:c>
      <x:c r="L10" t="str">
        <x:v>Alta</x:v>
      </x:c>
      <x:c r="M10" t="str">
        <x:v>https://meli.la/31YL9PZ</x:v>
      </x:c>
      <x:c r="N10" t="str">
        <x:v>Link recebido — CONFERIR PRODUTO</x:v>
      </x:c>
      <x:c r="O10" t="str">
        <x:v>Correspondência produto ↔ link não verificada. Preços históricos da pesquisa.</x:v>
      </x:c>
    </x:row>
    <x:row r="11">
      <x:c r="A11" t="n">
        <x:v>10</x:v>
      </x:c>
      <x:c r="B11" t="str">
        <x:v>Casa</x:v>
      </x:c>
      <x:c r="C11" t="str">
        <x:v>Kit 7 organizadores de armário aramado</x:v>
      </x:c>
      <x:c r="D11" s="2" t="n">
        <x:v>135.7</x:v>
      </x:c>
      <x:c r="E11" s="2" t="n">
        <x:v>82.7</x:v>
      </x:c>
      <x:c r="F11" s="4" t="n">
        <x:f>IFERROR((D11-E11)/D11,0)</x:f>
        <x:v>0.3905674281503315</x:v>
      </x:c>
      <x:c r="G11" t="str">
        <x:v>Pix</x:v>
      </x:c>
      <x:c r="H11" t="str">
        <x:v>+1 mil</x:v>
      </x:c>
      <x:c r="I11" t="str">
        <x:v>4,8</x:v>
      </x:c>
      <x:c r="J11" t="str">
        <x:v>https://lista.mercadolivre.com.br/casa-moveis-decoracao/organizacao-casa/organizadores-cozinha/</x:v>
      </x:c>
      <x:c r="K11" t="str">
        <x:v>Página de categoria — localizar anúncio</x:v>
      </x:c>
      <x:c r="L11" t="str">
        <x:v>Média</x:v>
      </x:c>
      <x:c r="M11" t="str">
        <x:v>https://meli.la/2Vwnq9n</x:v>
      </x:c>
      <x:c r="N11" t="str">
        <x:v>Link recebido — CONFERIR PRODUTO</x:v>
      </x:c>
      <x:c r="O11" t="str">
        <x:v>Correspondência produto ↔ link não verificada. Preços históricos da pesquisa.</x:v>
      </x:c>
    </x:row>
    <x:row r="12">
      <x:c r="A12" t="n">
        <x:v>11</x:v>
      </x:c>
      <x:c r="B12" t="str">
        <x:v>Casa</x:v>
      </x:c>
      <x:c r="C12" t="str">
        <x:v>Kit 2 dispensers sabão e amaciante</x:v>
      </x:c>
      <x:c r="D12" s="2" t="n">
        <x:v>58.8</x:v>
      </x:c>
      <x:c r="E12" s="2" t="n">
        <x:v>33.34</x:v>
      </x:c>
      <x:c r="F12" s="4" t="n">
        <x:f>IFERROR((D12-E12)/D12,0)</x:f>
        <x:v>0.4329931972789115</x:v>
      </x:c>
      <x:c r="G12" t="str">
        <x:v>Preço exibido</x:v>
      </x:c>
      <x:c r="H12" t="str">
        <x:v>+1 mil</x:v>
      </x:c>
      <x:c r="I12" t="str">
        <x:v>4,8</x:v>
      </x:c>
      <x:c r="J12" t="str">
        <x:v>https://lista.mercadolivre.com.br/casa-moveis-decoracao/organizacao-casa/organizadores-cozinha/</x:v>
      </x:c>
      <x:c r="K12" t="str">
        <x:v>Página de categoria — localizar anúncio</x:v>
      </x:c>
      <x:c r="L12" t="str">
        <x:v>Média</x:v>
      </x:c>
      <x:c r="M12" t="str">
        <x:v>https://meli.la/1iRpkn8</x:v>
      </x:c>
      <x:c r="N12" t="str">
        <x:v>Link recebido — CONFERIR PRODUTO</x:v>
      </x:c>
      <x:c r="O12" t="str">
        <x:v>Correspondência produto ↔ link não verificada. Preços históricos da pesquisa.</x:v>
      </x:c>
    </x:row>
    <x:row r="13">
      <x:c r="A13" t="n">
        <x:v>12</x:v>
      </x:c>
      <x:c r="B13" t="str">
        <x:v>Cozinha</x:v>
      </x:c>
      <x:c r="C13" t="str">
        <x:v>Panela de arroz Britânia PA5 Prime</x:v>
      </x:c>
      <x:c r="D13" s="2" t="n">
        <x:v>189.9</x:v>
      </x:c>
      <x:c r="E13" s="2" t="n">
        <x:v>124</x:v>
      </x:c>
      <x:c r="F13" s="4" t="n">
        <x:f>IFERROR((D13-E13)/D13,0)</x:f>
        <x:v>0.3470247498683518</x:v>
      </x:c>
      <x:c r="G13" t="str">
        <x:v>Preço exibido</x:v>
      </x:c>
      <x:c r="H13" t="str">
        <x:v>+50 mil</x:v>
      </x:c>
      <x:c r="I13" t="str">
        <x:v>4,8</x:v>
      </x:c>
      <x:c r="J13" t="str">
        <x:v>https://lista.mercadolivre.com.br/panela-de-arroz-pa5</x:v>
      </x:c>
      <x:c r="K13" t="str">
        <x:v>Página de busca — localizar anúncio</x:v>
      </x:c>
      <x:c r="L13" t="str">
        <x:v>Alta</x:v>
      </x:c>
      <x:c r="M13" t="str">
        <x:v>https://meli.la/1WhSg88</x:v>
      </x:c>
      <x:c r="N13" t="str">
        <x:v>Link recebido — CONFERIR PRODUTO</x:v>
      </x:c>
      <x:c r="O13" t="str">
        <x:v>Correspondência produto ↔ link não verificada. Preços históricos da pesquisa.</x:v>
      </x:c>
    </x:row>
    <x:row r="14">
      <x:c r="A14" t="n">
        <x:v>13</x:v>
      </x:c>
      <x:c r="B14" t="str">
        <x:v>Cozinha</x:v>
      </x:c>
      <x:c r="C14" t="str">
        <x:v>Air Fryer Mondial AF-31 3,5 L</x:v>
      </x:c>
      <x:c r="D14" s="2" t="n">
        <x:v>325</x:v>
      </x:c>
      <x:c r="E14" s="2" t="n">
        <x:v>233.6</x:v>
      </x:c>
      <x:c r="F14" s="4" t="n">
        <x:f>IFERROR((D14-E14)/D14,0)</x:f>
        <x:v>0.28123076923076923</x:v>
      </x:c>
      <x:c r="G14" t="str">
        <x:v>Pix</x:v>
      </x:c>
      <x:c r="H14" t="str">
        <x:v>+100 mil</x:v>
      </x:c>
      <x:c r="I14" t="str">
        <x:v>4,8</x:v>
      </x:c>
      <x:c r="J14" t="str">
        <x:v>https://produto.mercadolivre.com.br/MLB-3663122261-fritadeira-eletrica-air-fryer-mondial-af-31-35l-_JM</x:v>
      </x:c>
      <x:c r="K14" t="str">
        <x:v>Anúncio individual identificado; validar disponibilidade</x:v>
      </x:c>
      <x:c r="L14" t="str">
        <x:v>Alta</x:v>
      </x:c>
      <x:c r="M14"/>
      <x:c r="N14" t="str">
        <x:v>SUBSTITUIÇÃO LOCALIZADA — gerar link afiliado</x:v>
      </x:c>
      <x:c r="O14" t="str">
        <x:v>AF-31: confirmar variação/voltagem, vendedor e preço antes de converter.</x:v>
      </x:c>
    </x:row>
    <x:row r="15">
      <x:c r="A15" t="n">
        <x:v>14</x:v>
      </x:c>
      <x:c r="B15" t="str">
        <x:v>Cozinha</x:v>
      </x:c>
      <x:c r="C15" t="str">
        <x:v>Air Fryer Electrolux EAF40 5,6L</x:v>
      </x:c>
      <x:c r="D15" s="2" t="n">
        <x:v>473.75</x:v>
      </x:c>
      <x:c r="E15" s="2" t="n">
        <x:v>287.56</x:v>
      </x:c>
      <x:c r="F15" s="4" t="n">
        <x:f>IFERROR((D15-E15)/D15,0)</x:f>
        <x:v>0.3930131926121372</x:v>
      </x:c>
      <x:c r="G15" t="str">
        <x:v>Pix</x:v>
      </x:c>
      <x:c r="H15" t="str">
        <x:v>+10 mil</x:v>
      </x:c>
      <x:c r="I15" t="str">
        <x:v>4,9</x:v>
      </x:c>
      <x:c r="J15" t="str">
        <x:v>https://lista.mercadolivre.com.br/air-fryer-electrolux</x:v>
      </x:c>
      <x:c r="K15" t="str">
        <x:v>Busca específica: selecionar anúncio EAF40 5,6L</x:v>
      </x:c>
      <x:c r="L15" t="str">
        <x:v>Alta</x:v>
      </x:c>
      <x:c r="M15"/>
      <x:c r="N15" t="str">
        <x:v>PENDENTE — selecionar anúncio e gerar link</x:v>
      </x:c>
      <x:c r="O15" t="str">
        <x:v>A página pública lista EAF40, mas não foi confirmado um link individual inequívoco. Não converter página de busca.</x:v>
      </x:c>
    </x:row>
    <x:row r="16">
      <x:c r="A16" t="n">
        <x:v>15</x:v>
      </x:c>
      <x:c r="B16" t="str">
        <x:v>Acessórios</x:v>
      </x:c>
      <x:c r="C16" t="str">
        <x:v>Cabo USB-C Eletric Teck 60W 1m</x:v>
      </x:c>
      <x:c r="D16" s="2" t="n">
        <x:v>39.99</x:v>
      </x:c>
      <x:c r="E16" s="2" t="n">
        <x:v>19</x:v>
      </x:c>
      <x:c r="F16" s="4" t="n">
        <x:f>IFERROR((D16-E16)/D16,0)</x:f>
        <x:v>0.5248812203050763</x:v>
      </x:c>
      <x:c r="G16" t="str">
        <x:v>Preço exibido</x:v>
      </x:c>
      <x:c r="H16" t="str">
        <x:v>+1 mil</x:v>
      </x:c>
      <x:c r="I16" t="str">
        <x:v>4,9</x:v>
      </x:c>
      <x:c r="J16" t="str">
        <x:v>https://lista.mercadolivre.com.br/cameras-acessorios/cabos/usb/</x:v>
      </x:c>
      <x:c r="K16" t="str">
        <x:v>Página de categoria — localizar anúncio</x:v>
      </x:c>
      <x:c r="L16" t="str">
        <x:v>Média</x:v>
      </x:c>
      <x:c r="M16" t="str">
        <x:v>https://meli.la/1qEnJmE</x:v>
      </x:c>
      <x:c r="N16" t="str">
        <x:v>Link recebido — CONFERIR PRODUTO</x:v>
      </x:c>
      <x:c r="O16" t="str">
        <x:v>Correspondência produto ↔ link não verificada. Preços históricos da pesquisa.</x:v>
      </x:c>
    </x:row>
    <x:row r="17">
      <x:c r="A17" t="n">
        <x:v>16</x:v>
      </x:c>
      <x:c r="B17" t="str">
        <x:v>Acessórios</x:v>
      </x:c>
      <x:c r="C17" t="str">
        <x:v>Cabo USB-C Eletric Teck Nylon 2m</x:v>
      </x:c>
      <x:c r="D17" s="2" t="n">
        <x:v>41.99</x:v>
      </x:c>
      <x:c r="E17" s="2" t="n">
        <x:v>20.08</x:v>
      </x:c>
      <x:c r="F17" s="4" t="n">
        <x:f>IFERROR((D17-E17)/D17,0)</x:f>
        <x:v>0.5217909025958563</x:v>
      </x:c>
      <x:c r="G17" t="str">
        <x:v>Preço exibido</x:v>
      </x:c>
      <x:c r="H17" t="str">
        <x:v>+10 mil</x:v>
      </x:c>
      <x:c r="I17" t="str">
        <x:v>4,9</x:v>
      </x:c>
      <x:c r="J17" t="str">
        <x:v>https://lista.mercadolivre.com.br/celulares-telefones/acessorios-celulares/cabos/</x:v>
      </x:c>
      <x:c r="K17" t="str">
        <x:v>Página de categoria — localizar anúncio</x:v>
      </x:c>
      <x:c r="L17" t="str">
        <x:v>Média</x:v>
      </x:c>
      <x:c r="M17" t="str">
        <x:v>https://meli.la/1RFa79j</x:v>
      </x:c>
      <x:c r="N17" t="str">
        <x:v>Link recebido — CONFERIR PRODUTO</x:v>
      </x:c>
      <x:c r="O17" t="str">
        <x:v>Correspondência produto ↔ link não verificada. Preços históricos da pesquisa.</x:v>
      </x:c>
    </x:row>
  </x:sheetData>
  <x:dataValidations count="1">
    <x:dataValidation type="list" sqref="N2:N17">
      <x:formula1>"Localizar anúncio individual,Aguardando conversão,Convertido,Revalidar preço,Rejeitado"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>
      <x:c r="A1" s="7" t="str">
        <x:v>GMAX Ofertas — primeiro lote de pesquisa</x:v>
      </x:c>
      <x:c r="B1" s="7" t="str">
        <x:v>16 candidatos, não 100 anúncios individuais validados</x:v>
      </x:c>
    </x:row>
    <x:row r="2">
      <x:c r="A2" t="str">
        <x:v>Situação</x:v>
      </x:c>
      <x:c r="B2" t="str">
        <x:v>Valores extraídos de páginas públicas com atualização variável; não equivalem ao preço atual da loja</x:v>
      </x:c>
    </x:row>
    <x:row r="3">
      <x:c r="A3" t="str">
        <x:v>Página de produto</x:v>
      </x:c>
      <x:c r="B3" t="str">
        <x:v>URL específica apta a ser levada ao gerador após confirmação de elegibilidade</x:v>
      </x:c>
    </x:row>
    <x:row r="4">
      <x:c r="A4" t="str">
        <x:v>Página de categoria / busca</x:v>
      </x:c>
      <x:c r="B4" t="str">
        <x:v>Abra a página, localize o item e copie seu link individual ANTES de converter</x:v>
      </x:c>
    </x:row>
    <x:row r="5">
      <x:c r="A5" t="str">
        <x:v>Link afiliado</x:v>
      </x:c>
      <x:c r="B5" t="str">
        <x:v>Preencha coluna M com o link gerado oficialmente; nunca presuma que o link original comissiona</x:v>
      </x:c>
    </x:row>
    <x:row r="6">
      <x:c r="A6" t="str">
        <x:v>Validação</x:v>
      </x:c>
      <x:c r="B6" t="str">
        <x:v>Confirme preço, variante, reputação e elegibilidade imediatamente antes de publicar</x:v>
      </x:c>
    </x:row>
    <x:row r="7">
      <x:c r="A7" t="str">
        <x:v>Publicação</x:v>
      </x:c>
      <x:c r="B7" t="str">
        <x:v>Não publicar em grupos privados Mercado Livre; conferir termos atuais e canais cadastrados</x:v>
      </x:c>
    </x:row>
    <x:row r="8">
      <x:c r="A8" t="str">
        <x:v>Fonte</x:v>
      </x:c>
      <x:c r="B8" t="str">
        <x:v>URLs de origem de cada candidato na coluna J</x:v>
      </x:c>
    </x:row>
    <x:row r="10">
      <x:c r="A10" s="11" t="str">
        <x:v>Conciliação recebida</x:v>
      </x:c>
      <x:c r="B10" s="11" t="str">
        <x:v>16 respostas em ordem da planilha: 14 URLs meli.la e 2 inválidas.</x:v>
      </x:c>
    </x:row>
    <x:row r="11">
      <x:c r="A11" s="11" t="str">
        <x:v>Atenção</x:v>
      </x:c>
      <x:c r="B11" s="11" t="str">
        <x:v>A posição das URLs foi preservada; ainda não foi verificado se cada link abre o produto correspondente.</x:v>
      </x:c>
    </x:row>
    <x:row r="12">
      <x:c r="A12" s="11" t="str">
        <x:v>Linhas problemáticas</x:v>
      </x:c>
      <x:c r="B12" s="11" t="str">
        <x:v>Ranking 13 e 14: o gerador respondeu que a URL não corresponde a produto.</x:v>
      </x:c>
    </x:row>
    <x:row r="13">
      <x:c r="A13" s="11" t="str">
        <x:v>Importação</x:v>
      </x:c>
      <x:c r="B13" s="11" t="str">
        <x:v>NÃO importar como oferta comercial até revisar os destinos e atualizar preços.</x:v>
      </x:c>
    </x:row>
    <x:row r="14">
      <x:c r="A14" s="11" t="str">
        <x:v>Uso</x:v>
      </x:c>
      <x:c r="B14" s="11" t="str">
        <x:v>Substituir os 2 inválidos, conferir os 14 links e devolver planilha para gerar lote GMAX.</x:v>
      </x:c>
    </x:row>
    <x:row r="16">
      <x:c r="A16" t="str">
        <x:v>Resultado da checagem</x:v>
      </x:c>
      <x:c r="B16" t="str">
        <x:v>14 URLs meli.la não puderam ser resolvidas por nossa consulta; não houve confirmação de correspondência ao produto.</x:v>
      </x:c>
    </x:row>
    <x:row r="17">
      <x:c r="A17" t="str">
        <x:v>Mondial AF-31</x:v>
      </x:c>
      <x:c r="B17" t="str">
        <x:v>Link direto de um anúncio localizado na linha 13; conferir preço e elegibilidade antes de converter.</x:v>
      </x:c>
    </x:row>
    <x:row r="18">
      <x:c r="A18" t="str">
        <x:v>Electrolux EAF40</x:v>
      </x:c>
      <x:c r="B18" t="str">
        <x:v>Página de resultados específica na linha 14; abrir um anúncio individual do EAF40 antes de converter.</x:v>
      </x:c>
    </x:row>
    <x:row r="19">
      <x:c r="A19" t="str">
        <x:v>Importação</x:v>
      </x:c>
      <x:c r="B19" t="str">
        <x:v>BLOQUEADA PARA PUBLICAÇÃO. Não importar os links até validar destino, preço e comissão.</x:v>
      </x:c>
    </x:row>
    <x:row r="20">
      <x:c r="A20" t="str">
        <x:v>Nota sobre preços</x:v>
      </x:c>
      <x:c r="B20" t="str">
        <x:v>Preços e alegações de vendas da pesquisa são históricos, não houve verificação atual para os 16 anúncios.</x:v>
      </x:c>
    </x:row>
  </x:sheetData>
  <x:pageMargins left="0.7" right="0.7" top="0.75" bottom="0.75" header="0.3" footer="0.3"/>
</x:worksheet>
</file>